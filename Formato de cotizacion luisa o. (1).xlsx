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8_{48E8DB53-2DAB-4917-981C-5E2D1B8F5BCD}" xr6:coauthVersionLast="47" xr6:coauthVersionMax="47" xr10:uidLastSave="{00000000-0000-0000-0000-000000000000}"/>
  <bookViews>
    <workbookView xWindow="-120" yWindow="-120" windowWidth="29040" windowHeight="15720" xr2:uid="{26DE2BFF-86DC-4E8A-B522-AFBFC68C2588}"/>
  </bookViews>
  <sheets>
    <sheet name="Formato de factura" sheetId="1" r:id="rId1"/>
    <sheet name="Hoja10" sheetId="10" r:id="rId2"/>
    <sheet name="Vendedores" sheetId="2" r:id="rId3"/>
    <sheet name="Clientes" sheetId="3" r:id="rId4"/>
    <sheet name="Productos" sheetId="4" r:id="rId5"/>
    <sheet name="Tabla_Dinamica" sheetId="5" r:id="rId6"/>
    <sheet name="Detalles_Factura" sheetId="7" r:id="rId7"/>
    <sheet name="Fac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1" i="1" l="1"/>
  <c r="J30" i="1"/>
  <c r="J29" i="1"/>
  <c r="J28" i="1"/>
  <c r="J6" i="1"/>
</calcChain>
</file>

<file path=xl/sharedStrings.xml><?xml version="1.0" encoding="utf-8"?>
<sst xmlns="http://schemas.openxmlformats.org/spreadsheetml/2006/main" count="240" uniqueCount="189">
  <si>
    <t>Carlos</t>
  </si>
  <si>
    <t>Juan Fernando</t>
  </si>
  <si>
    <t>Diana Carolina</t>
  </si>
  <si>
    <t>Andrés Felipe</t>
  </si>
  <si>
    <t>Claudia Patricia</t>
  </si>
  <si>
    <t>Gómez Restrepo</t>
  </si>
  <si>
    <t>Rodríguez Silva</t>
  </si>
  <si>
    <t>Martínez Castro</t>
  </si>
  <si>
    <t>Bermúdez Ángel</t>
  </si>
  <si>
    <t>15/04/1985</t>
  </si>
  <si>
    <t>22/08/1990</t>
  </si>
  <si>
    <t>3104567890</t>
  </si>
  <si>
    <t>Calle 45 # 12-34</t>
  </si>
  <si>
    <t>CODIGO</t>
  </si>
  <si>
    <t>PRODUCTO</t>
  </si>
  <si>
    <t>Unid_medida</t>
  </si>
  <si>
    <t>CANTIDAD</t>
  </si>
  <si>
    <t>VALOR UNIT.</t>
  </si>
  <si>
    <t>Valor_Total</t>
  </si>
  <si>
    <t>P001</t>
  </si>
  <si>
    <t>Arroz Diana Premium</t>
  </si>
  <si>
    <t>Kilogramo</t>
  </si>
  <si>
    <t>P002</t>
  </si>
  <si>
    <t>Aceite Girasol 1L</t>
  </si>
  <si>
    <t>Unidad</t>
  </si>
  <si>
    <t>P003</t>
  </si>
  <si>
    <t>Azúcar Incauca Manualita</t>
  </si>
  <si>
    <t>P004</t>
  </si>
  <si>
    <t>Leche Alquería Entera 1L</t>
  </si>
  <si>
    <t>P005</t>
  </si>
  <si>
    <t>Café Sello Rojo 500g</t>
  </si>
  <si>
    <t>P006</t>
  </si>
  <si>
    <t>Frijol Bola Roja 1kg</t>
  </si>
  <si>
    <t>P007</t>
  </si>
  <si>
    <t>Lentejas Importadas 1kg</t>
  </si>
  <si>
    <t>P008</t>
  </si>
  <si>
    <t>Pasta Doria Spaghetti 250g</t>
  </si>
  <si>
    <t>P009</t>
  </si>
  <si>
    <t>Atún Van Camps en Aceite</t>
  </si>
  <si>
    <t>P010</t>
  </si>
  <si>
    <t>Sal Marina Refisal 1kg</t>
  </si>
  <si>
    <t>P011</t>
  </si>
  <si>
    <t>Harina de Maíz P.A.N.</t>
  </si>
  <si>
    <t>P012</t>
  </si>
  <si>
    <t>Chocolate Sol 500g</t>
  </si>
  <si>
    <t>P013</t>
  </si>
  <si>
    <t>Detergente Fab en Polvo 1kg</t>
  </si>
  <si>
    <t>P014</t>
  </si>
  <si>
    <t>Jabón Rey Barra</t>
  </si>
  <si>
    <t>P015</t>
  </si>
  <si>
    <t>Papel Higiénico Familia 4 Unid</t>
  </si>
  <si>
    <t>Paquete</t>
  </si>
  <si>
    <t>P016</t>
  </si>
  <si>
    <t>Crema Dental Colgate 100ml</t>
  </si>
  <si>
    <t>P017</t>
  </si>
  <si>
    <t>Shampoo Savital 550ml</t>
  </si>
  <si>
    <t>P018</t>
  </si>
  <si>
    <t>Esponja de Brillo Bombril</t>
  </si>
  <si>
    <t>P019</t>
  </si>
  <si>
    <t>Limpiador Fabuloso Lavender 1L</t>
  </si>
  <si>
    <t>P020</t>
  </si>
  <si>
    <t>Salsa de Tomate Fruco 400g</t>
  </si>
  <si>
    <t>Nit.</t>
  </si>
  <si>
    <t>Nombre</t>
  </si>
  <si>
    <t>Apellido</t>
  </si>
  <si>
    <t>fecha de nacimiento</t>
  </si>
  <si>
    <t>telefono</t>
  </si>
  <si>
    <t>Direccion</t>
  </si>
  <si>
    <t>Email:</t>
  </si>
  <si>
    <t>Cod_ced</t>
  </si>
  <si>
    <t>Nombres</t>
  </si>
  <si>
    <t>Apellidos</t>
  </si>
  <si>
    <t>teléfono</t>
  </si>
  <si>
    <t>Dirección</t>
  </si>
  <si>
    <t>Zona</t>
  </si>
  <si>
    <t>Carlos Andrés</t>
  </si>
  <si>
    <t>Norte</t>
  </si>
  <si>
    <t>Sur</t>
  </si>
  <si>
    <t>Oriente</t>
  </si>
  <si>
    <t>Occidente</t>
  </si>
  <si>
    <t>Centro</t>
  </si>
  <si>
    <t>Patiño Orozco</t>
  </si>
  <si>
    <t>3123456789</t>
  </si>
  <si>
    <t>901.234.567-1</t>
  </si>
  <si>
    <t>Calle 45 # 23-45</t>
  </si>
  <si>
    <t>carlos.gomez@example.com</t>
  </si>
  <si>
    <t>800.123.456-2</t>
  </si>
  <si>
    <t>María José</t>
  </si>
  <si>
    <t>Carrera 15 # 85-12</t>
  </si>
  <si>
    <t>maria.rodriguez@example.com</t>
  </si>
  <si>
    <t>900.987.654-3</t>
  </si>
  <si>
    <t>Pérez Arango</t>
  </si>
  <si>
    <t>Avenida Poblado # 10-50</t>
  </si>
  <si>
    <t>juan.perez@example.com</t>
  </si>
  <si>
    <t>700.555.444-8</t>
  </si>
  <si>
    <t>Martínez Osorio</t>
  </si>
  <si>
    <t>Calle 100 # 15-22</t>
  </si>
  <si>
    <t>diana.martinez@example.com</t>
  </si>
  <si>
    <t>890.111.222-5</t>
  </si>
  <si>
    <t>López Cardona</t>
  </si>
  <si>
    <t>Carrera 43A # 1 Sur-50</t>
  </si>
  <si>
    <t>andres.lopez@example.com</t>
  </si>
  <si>
    <t>901.888.777-6</t>
  </si>
  <si>
    <t>Sandra Milena</t>
  </si>
  <si>
    <t>Giraldo Hoyos</t>
  </si>
  <si>
    <t>Diagonal 75B # 2A-10</t>
  </si>
  <si>
    <t>sandra.giraldo@example.com</t>
  </si>
  <si>
    <t>830.444.555-9</t>
  </si>
  <si>
    <t>Jorge Eliecer</t>
  </si>
  <si>
    <t>Ramírez Castro</t>
  </si>
  <si>
    <t>Avenida 6N # 23N-40</t>
  </si>
  <si>
    <t>jorge.ramirez@example.com</t>
  </si>
  <si>
    <t>900.222.333-0</t>
  </si>
  <si>
    <t>Paola Andrea</t>
  </si>
  <si>
    <t>Valencia Marín</t>
  </si>
  <si>
    <t>Calle 53 # 45-60</t>
  </si>
  <si>
    <t>paola.valencia@example.com</t>
  </si>
  <si>
    <t>800.777.888-4</t>
  </si>
  <si>
    <t>Luis Fernando</t>
  </si>
  <si>
    <t>Carrera 7 # 72-15</t>
  </si>
  <si>
    <t>luis.bermudez@example.com</t>
  </si>
  <si>
    <t>901.333.444-7</t>
  </si>
  <si>
    <t>Gutiérrez Vélez</t>
  </si>
  <si>
    <t>Calle 26 # 68B-70</t>
  </si>
  <si>
    <t>claudia.gutierrez@example.com</t>
  </si>
  <si>
    <t>3157891234</t>
  </si>
  <si>
    <t>05/11/1978</t>
  </si>
  <si>
    <t>3001234567</t>
  </si>
  <si>
    <t>30/01/1993</t>
  </si>
  <si>
    <t>3219876543</t>
  </si>
  <si>
    <t>12/07/1988</t>
  </si>
  <si>
    <t>3124561234</t>
  </si>
  <si>
    <t>25/09/1982</t>
  </si>
  <si>
    <t>3187654321</t>
  </si>
  <si>
    <t>08/03/1975</t>
  </si>
  <si>
    <t>3016549870</t>
  </si>
  <si>
    <t>19/06/1995</t>
  </si>
  <si>
    <t>3143210987</t>
  </si>
  <si>
    <t>14/12/1980</t>
  </si>
  <si>
    <t>3179870123</t>
  </si>
  <si>
    <t>02/05/1987</t>
  </si>
  <si>
    <t>3136541298</t>
  </si>
  <si>
    <t>1020456789</t>
  </si>
  <si>
    <t>3157654321</t>
  </si>
  <si>
    <t>1032987654</t>
  </si>
  <si>
    <t>María Camila</t>
  </si>
  <si>
    <t>3104321098</t>
  </si>
  <si>
    <t>Carrera 8 # 45-67</t>
  </si>
  <si>
    <t>1015654321</t>
  </si>
  <si>
    <t>3209876543</t>
  </si>
  <si>
    <t>Avenida 19 # 100-20</t>
  </si>
  <si>
    <t>1045768912</t>
  </si>
  <si>
    <t>Ana Milena</t>
  </si>
  <si>
    <t>López Giraldo</t>
  </si>
  <si>
    <t>3004567890</t>
  </si>
  <si>
    <t>Calle 80 # 49b-12</t>
  </si>
  <si>
    <t>1026435178</t>
  </si>
  <si>
    <t>Diego Luis</t>
  </si>
  <si>
    <t>Morales Alzate</t>
  </si>
  <si>
    <t>Carrera 50 # 30-45</t>
  </si>
  <si>
    <t>1039871234</t>
  </si>
  <si>
    <t>Sandra Patricia</t>
  </si>
  <si>
    <t>Herrera Medina</t>
  </si>
  <si>
    <t>3189012345</t>
  </si>
  <si>
    <t>Diagonal 23 # 45-09</t>
  </si>
  <si>
    <t>1012345678</t>
  </si>
  <si>
    <t>3116549870</t>
  </si>
  <si>
    <t>Calle 5 # 10-88</t>
  </si>
  <si>
    <t>Cliente:</t>
  </si>
  <si>
    <t>Dirección:</t>
  </si>
  <si>
    <t>Teléfono:</t>
  </si>
  <si>
    <t xml:space="preserve"> Cotización N°</t>
  </si>
  <si>
    <t xml:space="preserve">800.777.888-4  </t>
  </si>
  <si>
    <t>ítem</t>
  </si>
  <si>
    <t>Cod. Producto</t>
  </si>
  <si>
    <t>Cant.</t>
  </si>
  <si>
    <t>Desctripción</t>
  </si>
  <si>
    <t>Valor Total</t>
  </si>
  <si>
    <t>Valor Unitario</t>
  </si>
  <si>
    <t>“De acuerdo a su amable solicitud de cotización, nos
permitimos presentar a su consideración los siguientes productos de alta calidad. “</t>
  </si>
  <si>
    <t>P021</t>
  </si>
  <si>
    <t>P022</t>
  </si>
  <si>
    <t>Descuentos:</t>
  </si>
  <si>
    <t>CONDICIONES COMERCIALES:
Tiempo de Entrega: Inmediato
Formas de Pago: Efectivo, Cheque o Tarjeta
Crédito
Garantía: (1) Un Año por defectos de
fabricación
Para colocar esta información en la misma
celda es necesario presionar al final de cada
línea las teclas ALt y enter en forma simultanea</t>
  </si>
  <si>
    <t>Total De Cotización</t>
  </si>
  <si>
    <t>Luis Fernando  Bermúdez Ángel</t>
  </si>
  <si>
    <t>0001</t>
  </si>
  <si>
    <t xml:space="preserve">Subtotal: </t>
  </si>
  <si>
    <t xml:space="preserve">Valor iva: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</si>
</sst>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99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1"/>
    <xf numFmtId="0" fontId="2" fillId="0" borderId="1" xfId="1" applyBorder="1" applyAlignment="1">
      <alignment horizontal="center"/>
    </xf>
    <xf numFmtId="0" fontId="0" fillId="2" borderId="1" xfId="0" applyFill="1" applyBorder="1"/>
    <xf numFmtId="0" fontId="0" fillId="0" borderId="7" xfId="0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0" fillId="0" borderId="2" xfId="0" applyBorder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9" fontId="0" fillId="0" borderId="1" xfId="0" applyNumberForma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8" xfId="0" quotePrefix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 wrapText="1"/>
    </xf>
    <xf numFmtId="9" fontId="1" fillId="0" borderId="1" xfId="0" applyNumberFormat="1" applyFont="1" applyBorder="1" applyAlignment="1">
      <alignment wrapText="1"/>
    </xf>
    <xf numFmtId="3" fontId="0" fillId="0" borderId="1" xfId="0" applyNumberFormat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9525</xdr:rowOff>
    </xdr:from>
    <xdr:to>
      <xdr:col>10</xdr:col>
      <xdr:colOff>0</xdr:colOff>
      <xdr:row>32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00A839E-091C-FC39-B93D-3859BB5811C0}"/>
            </a:ext>
          </a:extLst>
        </xdr:cNvPr>
        <xdr:cNvSpPr/>
      </xdr:nvSpPr>
      <xdr:spPr>
        <a:xfrm>
          <a:off x="9525" y="1028700"/>
          <a:ext cx="8258175" cy="6010275"/>
        </a:xfrm>
        <a:prstGeom prst="roundRect">
          <a:avLst>
            <a:gd name="adj" fmla="val 82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3329</xdr:colOff>
      <xdr:row>0</xdr:row>
      <xdr:rowOff>0</xdr:rowOff>
    </xdr:from>
    <xdr:to>
      <xdr:col>10</xdr:col>
      <xdr:colOff>7326</xdr:colOff>
      <xdr:row>3</xdr:row>
      <xdr:rowOff>8659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9448CA7B-217A-2C25-78D9-5AC2843E24CD}"/>
            </a:ext>
          </a:extLst>
        </xdr:cNvPr>
        <xdr:cNvSpPr/>
      </xdr:nvSpPr>
      <xdr:spPr>
        <a:xfrm>
          <a:off x="7380874" y="0"/>
          <a:ext cx="887225" cy="588818"/>
        </a:xfrm>
        <a:prstGeom prst="roundRect">
          <a:avLst>
            <a:gd name="adj" fmla="val 10441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8660</xdr:colOff>
      <xdr:row>0</xdr:row>
      <xdr:rowOff>0</xdr:rowOff>
    </xdr:from>
    <xdr:to>
      <xdr:col>10</xdr:col>
      <xdr:colOff>13607</xdr:colOff>
      <xdr:row>3</xdr:row>
      <xdr:rowOff>8660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C15929F-1E78-EE80-A49B-C137980B938A}"/>
            </a:ext>
          </a:extLst>
        </xdr:cNvPr>
        <xdr:cNvSpPr/>
      </xdr:nvSpPr>
      <xdr:spPr>
        <a:xfrm>
          <a:off x="8660" y="0"/>
          <a:ext cx="8264483" cy="58016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uis.bermudez@exampl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luis.bermud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183A-B746-4502-84A1-6EAF173F44D1}">
  <sheetPr>
    <tabColor rgb="FFFFFF00"/>
  </sheetPr>
  <dimension ref="A1:J32"/>
  <sheetViews>
    <sheetView tabSelected="1" zoomScale="120" zoomScaleNormal="120" workbookViewId="0">
      <selection activeCell="L29" sqref="L29"/>
    </sheetView>
  </sheetViews>
  <sheetFormatPr baseColWidth="10" defaultRowHeight="15" x14ac:dyDescent="0.25"/>
  <cols>
    <col min="1" max="1" width="6.140625" customWidth="1"/>
    <col min="3" max="3" width="14.7109375" customWidth="1"/>
    <col min="4" max="4" width="23.7109375" customWidth="1"/>
    <col min="5" max="5" width="14" customWidth="1"/>
    <col min="6" max="6" width="13.140625" customWidth="1"/>
    <col min="9" max="9" width="4.7109375" customWidth="1"/>
    <col min="10" max="10" width="13.28515625" bestFit="1" customWidth="1"/>
  </cols>
  <sheetData>
    <row r="1" spans="1:10" x14ac:dyDescent="0.25">
      <c r="A1" s="8" t="s">
        <v>168</v>
      </c>
      <c r="B1" s="8"/>
      <c r="C1" s="9" t="s">
        <v>172</v>
      </c>
      <c r="D1" s="9"/>
      <c r="E1" s="9" t="s">
        <v>185</v>
      </c>
      <c r="F1" s="9"/>
      <c r="G1" s="9"/>
      <c r="H1" s="9"/>
      <c r="I1" s="10"/>
      <c r="J1" s="18" t="s">
        <v>171</v>
      </c>
    </row>
    <row r="2" spans="1:10" x14ac:dyDescent="0.25">
      <c r="A2" s="8" t="s">
        <v>169</v>
      </c>
      <c r="B2" s="8"/>
      <c r="C2" s="12" t="s">
        <v>119</v>
      </c>
      <c r="D2" s="13"/>
      <c r="E2" s="13"/>
      <c r="F2" s="13"/>
      <c r="G2" s="13"/>
      <c r="H2" s="14"/>
      <c r="I2" s="10"/>
      <c r="J2" s="52" t="s">
        <v>186</v>
      </c>
    </row>
    <row r="3" spans="1:10" x14ac:dyDescent="0.25">
      <c r="A3" s="8" t="s">
        <v>170</v>
      </c>
      <c r="B3" s="8"/>
      <c r="C3" s="10"/>
      <c r="D3" s="10" t="s">
        <v>68</v>
      </c>
      <c r="E3" s="17" t="s">
        <v>120</v>
      </c>
      <c r="F3" s="9"/>
      <c r="G3" s="9"/>
      <c r="H3" s="9"/>
      <c r="I3" s="10"/>
      <c r="J3" s="53"/>
    </row>
    <row r="4" spans="1:10" ht="34.5" customHeight="1" x14ac:dyDescent="0.25">
      <c r="A4" s="44" t="s">
        <v>179</v>
      </c>
      <c r="B4" s="7"/>
      <c r="C4" s="7"/>
      <c r="D4" s="7"/>
      <c r="E4" s="7"/>
      <c r="F4" s="7"/>
      <c r="G4" s="7"/>
      <c r="H4" s="7"/>
      <c r="I4" s="7"/>
      <c r="J4" s="19"/>
    </row>
    <row r="5" spans="1:10" ht="39" customHeight="1" x14ac:dyDescent="0.25">
      <c r="A5" s="27" t="s">
        <v>173</v>
      </c>
      <c r="B5" s="28" t="s">
        <v>174</v>
      </c>
      <c r="C5" s="29" t="s">
        <v>175</v>
      </c>
      <c r="D5" s="20" t="s">
        <v>176</v>
      </c>
      <c r="E5" s="21"/>
      <c r="F5" s="21"/>
      <c r="G5" s="22"/>
      <c r="H5" s="25" t="s">
        <v>178</v>
      </c>
      <c r="I5" s="26"/>
      <c r="J5" s="29" t="s">
        <v>177</v>
      </c>
    </row>
    <row r="6" spans="1:10" x14ac:dyDescent="0.25">
      <c r="A6" s="11">
        <v>1</v>
      </c>
      <c r="B6" s="11" t="s">
        <v>19</v>
      </c>
      <c r="C6" s="11">
        <v>150</v>
      </c>
      <c r="D6" s="46" t="s">
        <v>20</v>
      </c>
      <c r="E6" s="47"/>
      <c r="F6" s="47"/>
      <c r="G6" s="48"/>
      <c r="H6" s="12">
        <v>3200</v>
      </c>
      <c r="I6" s="14"/>
      <c r="J6" s="15">
        <f>(H6*C6)</f>
        <v>480000</v>
      </c>
    </row>
    <row r="7" spans="1:10" x14ac:dyDescent="0.25">
      <c r="A7" s="11">
        <v>2</v>
      </c>
      <c r="B7" s="11" t="s">
        <v>22</v>
      </c>
      <c r="C7" s="11">
        <v>80</v>
      </c>
      <c r="D7" s="49" t="s">
        <v>23</v>
      </c>
      <c r="E7" s="50"/>
      <c r="F7" s="50"/>
      <c r="G7" s="51"/>
      <c r="H7" s="12">
        <v>12500</v>
      </c>
      <c r="I7" s="14"/>
      <c r="J7" s="15">
        <v>1000000</v>
      </c>
    </row>
    <row r="8" spans="1:10" x14ac:dyDescent="0.25">
      <c r="A8" s="11">
        <v>3</v>
      </c>
      <c r="B8" s="11" t="s">
        <v>25</v>
      </c>
      <c r="C8" s="11">
        <v>200</v>
      </c>
      <c r="D8" s="49" t="s">
        <v>28</v>
      </c>
      <c r="E8" s="50"/>
      <c r="F8" s="50"/>
      <c r="G8" s="51"/>
      <c r="H8" s="12">
        <v>2800</v>
      </c>
      <c r="I8" s="14"/>
      <c r="J8" s="15">
        <v>560000</v>
      </c>
    </row>
    <row r="9" spans="1:10" x14ac:dyDescent="0.25">
      <c r="A9" s="11">
        <v>4</v>
      </c>
      <c r="B9" s="11" t="s">
        <v>27</v>
      </c>
      <c r="C9" s="11">
        <v>120</v>
      </c>
      <c r="D9" s="49" t="s">
        <v>30</v>
      </c>
      <c r="E9" s="50"/>
      <c r="F9" s="50"/>
      <c r="G9" s="51"/>
      <c r="H9" s="12">
        <v>4100</v>
      </c>
      <c r="I9" s="14"/>
      <c r="J9" s="15">
        <v>492000</v>
      </c>
    </row>
    <row r="10" spans="1:10" x14ac:dyDescent="0.25">
      <c r="A10" s="11">
        <v>5</v>
      </c>
      <c r="B10" s="11" t="s">
        <v>29</v>
      </c>
      <c r="C10" s="11">
        <v>60</v>
      </c>
      <c r="D10" s="49" t="s">
        <v>32</v>
      </c>
      <c r="E10" s="50"/>
      <c r="F10" s="50"/>
      <c r="G10" s="51"/>
      <c r="H10" s="12">
        <v>9800</v>
      </c>
      <c r="I10" s="14"/>
      <c r="J10" s="15">
        <v>588000</v>
      </c>
    </row>
    <row r="11" spans="1:10" x14ac:dyDescent="0.25">
      <c r="A11" s="11">
        <v>6</v>
      </c>
      <c r="B11" s="11" t="s">
        <v>31</v>
      </c>
      <c r="C11" s="10"/>
      <c r="D11" s="35"/>
      <c r="E11" s="36"/>
      <c r="F11" s="36"/>
      <c r="G11" s="37"/>
      <c r="H11" s="12"/>
      <c r="I11" s="14"/>
      <c r="J11" s="15"/>
    </row>
    <row r="12" spans="1:10" x14ac:dyDescent="0.25">
      <c r="A12" s="11">
        <v>7</v>
      </c>
      <c r="B12" s="11" t="s">
        <v>33</v>
      </c>
      <c r="C12" s="10"/>
      <c r="D12" s="35"/>
      <c r="E12" s="36"/>
      <c r="F12" s="36"/>
      <c r="G12" s="37"/>
      <c r="H12" s="12"/>
      <c r="I12" s="14"/>
      <c r="J12" s="30"/>
    </row>
    <row r="13" spans="1:10" x14ac:dyDescent="0.25">
      <c r="A13" s="11">
        <v>8</v>
      </c>
      <c r="B13" s="11" t="s">
        <v>35</v>
      </c>
      <c r="C13" s="10"/>
      <c r="D13" s="35"/>
      <c r="E13" s="36"/>
      <c r="F13" s="36"/>
      <c r="G13" s="37"/>
      <c r="H13" s="12"/>
      <c r="I13" s="14"/>
      <c r="J13" s="30"/>
    </row>
    <row r="14" spans="1:10" x14ac:dyDescent="0.25">
      <c r="A14" s="11">
        <v>9</v>
      </c>
      <c r="B14" s="11" t="s">
        <v>37</v>
      </c>
      <c r="C14" s="10"/>
      <c r="D14" s="35"/>
      <c r="E14" s="36"/>
      <c r="F14" s="36"/>
      <c r="G14" s="37"/>
      <c r="H14" s="12"/>
      <c r="I14" s="14"/>
      <c r="J14" s="30"/>
    </row>
    <row r="15" spans="1:10" x14ac:dyDescent="0.25">
      <c r="A15" s="11">
        <v>10</v>
      </c>
      <c r="B15" s="11" t="s">
        <v>39</v>
      </c>
      <c r="C15" s="10"/>
      <c r="D15" s="35"/>
      <c r="E15" s="36"/>
      <c r="F15" s="36"/>
      <c r="G15" s="37"/>
      <c r="H15" s="12"/>
      <c r="I15" s="14"/>
      <c r="J15" s="30"/>
    </row>
    <row r="16" spans="1:10" x14ac:dyDescent="0.25">
      <c r="A16" s="11">
        <v>11</v>
      </c>
      <c r="B16" s="11" t="s">
        <v>41</v>
      </c>
      <c r="C16" s="10"/>
      <c r="D16" s="35"/>
      <c r="E16" s="36"/>
      <c r="F16" s="36"/>
      <c r="G16" s="37"/>
      <c r="H16" s="12"/>
      <c r="I16" s="14"/>
      <c r="J16" s="30"/>
    </row>
    <row r="17" spans="1:10" x14ac:dyDescent="0.25">
      <c r="A17" s="11">
        <v>12</v>
      </c>
      <c r="B17" s="11" t="s">
        <v>43</v>
      </c>
      <c r="C17" s="10"/>
      <c r="D17" s="35"/>
      <c r="E17" s="36"/>
      <c r="F17" s="36"/>
      <c r="G17" s="37"/>
      <c r="H17" s="12"/>
      <c r="I17" s="14"/>
      <c r="J17" s="30"/>
    </row>
    <row r="18" spans="1:10" x14ac:dyDescent="0.25">
      <c r="A18" s="11">
        <v>13</v>
      </c>
      <c r="B18" s="11" t="s">
        <v>45</v>
      </c>
      <c r="C18" s="10"/>
      <c r="D18" s="35"/>
      <c r="E18" s="36"/>
      <c r="F18" s="36"/>
      <c r="G18" s="37"/>
      <c r="H18" s="12"/>
      <c r="I18" s="14"/>
      <c r="J18" s="30"/>
    </row>
    <row r="19" spans="1:10" x14ac:dyDescent="0.25">
      <c r="A19" s="11">
        <v>14</v>
      </c>
      <c r="B19" s="11" t="s">
        <v>47</v>
      </c>
      <c r="C19" s="10"/>
      <c r="D19" s="35"/>
      <c r="E19" s="36"/>
      <c r="F19" s="36"/>
      <c r="G19" s="37"/>
      <c r="H19" s="12"/>
      <c r="I19" s="14"/>
      <c r="J19" s="30"/>
    </row>
    <row r="20" spans="1:10" x14ac:dyDescent="0.25">
      <c r="A20" s="11">
        <v>15</v>
      </c>
      <c r="B20" s="11" t="s">
        <v>49</v>
      </c>
      <c r="C20" s="10"/>
      <c r="D20" s="35"/>
      <c r="E20" s="36"/>
      <c r="F20" s="36"/>
      <c r="G20" s="37"/>
      <c r="H20" s="12"/>
      <c r="I20" s="14"/>
      <c r="J20" s="30"/>
    </row>
    <row r="21" spans="1:10" x14ac:dyDescent="0.25">
      <c r="A21" s="11">
        <v>16</v>
      </c>
      <c r="B21" s="11" t="s">
        <v>52</v>
      </c>
      <c r="C21" s="10"/>
      <c r="D21" s="35"/>
      <c r="E21" s="36"/>
      <c r="F21" s="36"/>
      <c r="G21" s="37"/>
      <c r="H21" s="12"/>
      <c r="I21" s="14"/>
      <c r="J21" s="30"/>
    </row>
    <row r="22" spans="1:10" x14ac:dyDescent="0.25">
      <c r="A22" s="11">
        <v>17</v>
      </c>
      <c r="B22" s="11" t="s">
        <v>54</v>
      </c>
      <c r="C22" s="10"/>
      <c r="D22" s="35"/>
      <c r="E22" s="36"/>
      <c r="F22" s="36"/>
      <c r="G22" s="37"/>
      <c r="H22" s="12"/>
      <c r="I22" s="14"/>
      <c r="J22" s="30"/>
    </row>
    <row r="23" spans="1:10" x14ac:dyDescent="0.25">
      <c r="A23" s="11">
        <v>18</v>
      </c>
      <c r="B23" s="11" t="s">
        <v>56</v>
      </c>
      <c r="C23" s="10"/>
      <c r="D23" s="35"/>
      <c r="E23" s="36"/>
      <c r="F23" s="36"/>
      <c r="G23" s="37"/>
      <c r="H23" s="12"/>
      <c r="I23" s="14"/>
      <c r="J23" s="30"/>
    </row>
    <row r="24" spans="1:10" x14ac:dyDescent="0.25">
      <c r="A24" s="11">
        <v>19</v>
      </c>
      <c r="B24" s="11" t="s">
        <v>58</v>
      </c>
      <c r="C24" s="10"/>
      <c r="D24" s="35"/>
      <c r="E24" s="36"/>
      <c r="F24" s="36"/>
      <c r="G24" s="37"/>
      <c r="H24" s="12"/>
      <c r="I24" s="14"/>
      <c r="J24" s="30"/>
    </row>
    <row r="25" spans="1:10" x14ac:dyDescent="0.25">
      <c r="A25" s="11">
        <v>20</v>
      </c>
      <c r="B25" s="11" t="s">
        <v>60</v>
      </c>
      <c r="C25" s="10"/>
      <c r="D25" s="35"/>
      <c r="E25" s="36"/>
      <c r="F25" s="36"/>
      <c r="G25" s="37"/>
      <c r="H25" s="12"/>
      <c r="I25" s="14"/>
      <c r="J25" s="30"/>
    </row>
    <row r="26" spans="1:10" x14ac:dyDescent="0.25">
      <c r="A26" s="11">
        <v>21</v>
      </c>
      <c r="B26" s="11" t="s">
        <v>180</v>
      </c>
      <c r="C26" s="10"/>
      <c r="D26" s="35"/>
      <c r="E26" s="36"/>
      <c r="F26" s="36"/>
      <c r="G26" s="37"/>
      <c r="H26" s="12"/>
      <c r="I26" s="14"/>
      <c r="J26" s="30"/>
    </row>
    <row r="27" spans="1:10" x14ac:dyDescent="0.25">
      <c r="A27" s="11">
        <v>22</v>
      </c>
      <c r="B27" s="11" t="s">
        <v>181</v>
      </c>
      <c r="C27" s="10"/>
      <c r="D27" s="35"/>
      <c r="E27" s="36"/>
      <c r="F27" s="36"/>
      <c r="G27" s="37"/>
      <c r="H27" s="12"/>
      <c r="I27" s="14"/>
      <c r="J27" s="10"/>
    </row>
    <row r="28" spans="1:10" x14ac:dyDescent="0.25">
      <c r="A28" s="31"/>
      <c r="B28" s="23"/>
      <c r="C28" s="23"/>
      <c r="D28" s="23"/>
      <c r="E28" s="23"/>
      <c r="F28" s="23"/>
      <c r="G28" s="24"/>
      <c r="H28" s="42" t="s">
        <v>187</v>
      </c>
      <c r="I28" s="38"/>
      <c r="J28" s="43">
        <f>SUM(J6:J10)</f>
        <v>3120000</v>
      </c>
    </row>
    <row r="29" spans="1:10" x14ac:dyDescent="0.25">
      <c r="A29" s="34"/>
      <c r="B29" s="7"/>
      <c r="C29" s="7"/>
      <c r="D29" s="7"/>
      <c r="E29" s="7"/>
      <c r="F29" s="7"/>
      <c r="G29" s="19"/>
      <c r="H29" s="38" t="s">
        <v>188</v>
      </c>
      <c r="I29" s="55">
        <v>0.19</v>
      </c>
      <c r="J29" s="54">
        <f>J28*I29</f>
        <v>592800</v>
      </c>
    </row>
    <row r="30" spans="1:10" ht="30" x14ac:dyDescent="0.25">
      <c r="A30" s="45" t="s">
        <v>183</v>
      </c>
      <c r="B30" s="23"/>
      <c r="C30" s="23"/>
      <c r="D30" s="23"/>
      <c r="E30" s="23"/>
      <c r="F30" s="23"/>
      <c r="G30" s="24"/>
      <c r="H30" s="38" t="s">
        <v>182</v>
      </c>
      <c r="I30" s="40">
        <v>0.05</v>
      </c>
      <c r="J30" s="39">
        <f>J28*I30</f>
        <v>156000</v>
      </c>
    </row>
    <row r="31" spans="1:10" ht="30" x14ac:dyDescent="0.25">
      <c r="A31" s="32"/>
      <c r="B31" s="6"/>
      <c r="C31" s="6"/>
      <c r="D31" s="6"/>
      <c r="E31" s="6"/>
      <c r="F31" s="6"/>
      <c r="G31" s="33"/>
      <c r="H31" s="41" t="s">
        <v>184</v>
      </c>
      <c r="I31" s="39"/>
      <c r="J31" s="56">
        <f>+J28+J29-J30</f>
        <v>3556800</v>
      </c>
    </row>
    <row r="32" spans="1:10" x14ac:dyDescent="0.25">
      <c r="A32" s="34"/>
      <c r="B32" s="7"/>
      <c r="C32" s="7"/>
      <c r="D32" s="7"/>
      <c r="E32" s="7"/>
      <c r="F32" s="7"/>
      <c r="G32" s="19"/>
      <c r="H32" s="10"/>
      <c r="I32" s="10"/>
      <c r="J32" s="10"/>
    </row>
  </sheetData>
  <mergeCells count="57">
    <mergeCell ref="H5:I5"/>
    <mergeCell ref="D5:G5"/>
    <mergeCell ref="A4:J4"/>
    <mergeCell ref="H23:I23"/>
    <mergeCell ref="H24:I24"/>
    <mergeCell ref="H25:I25"/>
    <mergeCell ref="H26:I26"/>
    <mergeCell ref="H27:I27"/>
    <mergeCell ref="H17:I17"/>
    <mergeCell ref="H18:I18"/>
    <mergeCell ref="H19:I19"/>
    <mergeCell ref="H20:I20"/>
    <mergeCell ref="H21:I21"/>
    <mergeCell ref="H22:I22"/>
    <mergeCell ref="H6:I6"/>
    <mergeCell ref="H7:I7"/>
    <mergeCell ref="H8:I8"/>
    <mergeCell ref="H9:I9"/>
    <mergeCell ref="H10:I10"/>
    <mergeCell ref="H11:I11"/>
    <mergeCell ref="H12:I12"/>
    <mergeCell ref="D27:G27"/>
    <mergeCell ref="A28:G29"/>
    <mergeCell ref="A30:G32"/>
    <mergeCell ref="C1:D1"/>
    <mergeCell ref="E1:H1"/>
    <mergeCell ref="H13:I13"/>
    <mergeCell ref="H14:I14"/>
    <mergeCell ref="H15:I15"/>
    <mergeCell ref="H16:I16"/>
    <mergeCell ref="D19:G19"/>
    <mergeCell ref="D20:G20"/>
    <mergeCell ref="D21:G21"/>
    <mergeCell ref="D22:G22"/>
    <mergeCell ref="D23:G23"/>
    <mergeCell ref="D24:G24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25:G25"/>
    <mergeCell ref="D26:G26"/>
    <mergeCell ref="D15:G15"/>
    <mergeCell ref="D16:G16"/>
    <mergeCell ref="D17:G17"/>
    <mergeCell ref="D18:G18"/>
    <mergeCell ref="J2:J3"/>
    <mergeCell ref="A1:B1"/>
    <mergeCell ref="A2:B2"/>
    <mergeCell ref="A3:B3"/>
    <mergeCell ref="C2:H2"/>
    <mergeCell ref="E3:H3"/>
  </mergeCells>
  <phoneticPr fontId="3" type="noConversion"/>
  <hyperlinks>
    <hyperlink ref="E3" r:id="rId1" xr:uid="{53621A9C-C0C3-49B2-B8C9-FA37C8DF562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BFBD-AF3F-4921-AF7B-32165480BF7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47D2-6F77-4B2F-99D5-7DE8082A52B2}">
  <sheetPr>
    <tabColor theme="3" tint="0.499984740745262"/>
  </sheetPr>
  <dimension ref="A1:F8"/>
  <sheetViews>
    <sheetView workbookViewId="0">
      <selection activeCell="E35" sqref="E35"/>
    </sheetView>
  </sheetViews>
  <sheetFormatPr baseColWidth="10" defaultRowHeight="15" x14ac:dyDescent="0.25"/>
  <cols>
    <col min="1" max="1" width="12.7109375" customWidth="1"/>
    <col min="2" max="2" width="18" customWidth="1"/>
    <col min="3" max="3" width="15.140625" customWidth="1"/>
    <col min="4" max="4" width="13.7109375" customWidth="1"/>
    <col min="5" max="5" width="19.28515625" customWidth="1"/>
  </cols>
  <sheetData>
    <row r="1" spans="1:6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</row>
    <row r="2" spans="1:6" x14ac:dyDescent="0.25">
      <c r="A2" s="4" t="s">
        <v>142</v>
      </c>
      <c r="B2" s="4" t="s">
        <v>75</v>
      </c>
      <c r="C2" s="4" t="s">
        <v>5</v>
      </c>
      <c r="D2" s="4" t="s">
        <v>143</v>
      </c>
      <c r="E2" s="4" t="s">
        <v>12</v>
      </c>
      <c r="F2" s="4" t="s">
        <v>76</v>
      </c>
    </row>
    <row r="3" spans="1:6" x14ac:dyDescent="0.25">
      <c r="A3" s="4" t="s">
        <v>144</v>
      </c>
      <c r="B3" s="4" t="s">
        <v>145</v>
      </c>
      <c r="C3" s="4" t="s">
        <v>6</v>
      </c>
      <c r="D3" s="4" t="s">
        <v>146</v>
      </c>
      <c r="E3" s="4" t="s">
        <v>147</v>
      </c>
      <c r="F3" s="4" t="s">
        <v>77</v>
      </c>
    </row>
    <row r="4" spans="1:6" x14ac:dyDescent="0.25">
      <c r="A4" s="4" t="s">
        <v>148</v>
      </c>
      <c r="B4" s="4" t="s">
        <v>1</v>
      </c>
      <c r="C4" s="4" t="s">
        <v>7</v>
      </c>
      <c r="D4" s="4" t="s">
        <v>149</v>
      </c>
      <c r="E4" s="4" t="s">
        <v>150</v>
      </c>
      <c r="F4" s="4" t="s">
        <v>78</v>
      </c>
    </row>
    <row r="5" spans="1:6" x14ac:dyDescent="0.25">
      <c r="A5" s="4" t="s">
        <v>151</v>
      </c>
      <c r="B5" s="4" t="s">
        <v>152</v>
      </c>
      <c r="C5" s="4" t="s">
        <v>153</v>
      </c>
      <c r="D5" s="4" t="s">
        <v>154</v>
      </c>
      <c r="E5" s="4" t="s">
        <v>155</v>
      </c>
      <c r="F5" s="4" t="s">
        <v>79</v>
      </c>
    </row>
    <row r="6" spans="1:6" x14ac:dyDescent="0.25">
      <c r="A6" s="4" t="s">
        <v>156</v>
      </c>
      <c r="B6" s="4" t="s">
        <v>157</v>
      </c>
      <c r="C6" s="4" t="s">
        <v>158</v>
      </c>
      <c r="D6" s="4" t="s">
        <v>82</v>
      </c>
      <c r="E6" s="4" t="s">
        <v>159</v>
      </c>
      <c r="F6" s="4" t="s">
        <v>80</v>
      </c>
    </row>
    <row r="7" spans="1:6" x14ac:dyDescent="0.25">
      <c r="A7" s="4" t="s">
        <v>160</v>
      </c>
      <c r="B7" s="4" t="s">
        <v>161</v>
      </c>
      <c r="C7" s="4" t="s">
        <v>162</v>
      </c>
      <c r="D7" s="4" t="s">
        <v>163</v>
      </c>
      <c r="E7" s="4" t="s">
        <v>164</v>
      </c>
      <c r="F7" s="4" t="s">
        <v>76</v>
      </c>
    </row>
    <row r="8" spans="1:6" x14ac:dyDescent="0.25">
      <c r="A8" s="4" t="s">
        <v>165</v>
      </c>
      <c r="B8" s="4" t="s">
        <v>108</v>
      </c>
      <c r="C8" s="4" t="s">
        <v>81</v>
      </c>
      <c r="D8" s="4" t="s">
        <v>166</v>
      </c>
      <c r="E8" s="4" t="s">
        <v>167</v>
      </c>
      <c r="F8" s="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6B6F-E7B1-43D6-80FC-263ED7C82E62}">
  <sheetPr>
    <tabColor theme="7" tint="0.39997558519241921"/>
  </sheetPr>
  <dimension ref="A1:G11"/>
  <sheetViews>
    <sheetView workbookViewId="0">
      <selection activeCell="B10" sqref="B10"/>
    </sheetView>
  </sheetViews>
  <sheetFormatPr baseColWidth="10" defaultRowHeight="15" x14ac:dyDescent="0.25"/>
  <cols>
    <col min="1" max="1" width="14.140625" customWidth="1"/>
    <col min="2" max="2" width="15.42578125" customWidth="1"/>
    <col min="3" max="3" width="17.85546875" customWidth="1"/>
    <col min="4" max="4" width="17" customWidth="1"/>
    <col min="5" max="5" width="22.85546875" customWidth="1"/>
    <col min="6" max="6" width="23.85546875" customWidth="1"/>
    <col min="7" max="7" width="28.5703125" customWidth="1"/>
  </cols>
  <sheetData>
    <row r="1" spans="1:7" x14ac:dyDescent="0.25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</row>
    <row r="2" spans="1:7" x14ac:dyDescent="0.25">
      <c r="A2" s="2" t="s">
        <v>83</v>
      </c>
      <c r="B2" s="2" t="s">
        <v>0</v>
      </c>
      <c r="C2" s="2" t="s">
        <v>5</v>
      </c>
      <c r="D2" s="2" t="s">
        <v>9</v>
      </c>
      <c r="E2" s="2" t="s">
        <v>11</v>
      </c>
      <c r="F2" s="2" t="s">
        <v>84</v>
      </c>
      <c r="G2" s="2" t="s">
        <v>85</v>
      </c>
    </row>
    <row r="3" spans="1:7" x14ac:dyDescent="0.25">
      <c r="A3" s="2" t="s">
        <v>86</v>
      </c>
      <c r="B3" s="2" t="s">
        <v>87</v>
      </c>
      <c r="C3" s="2" t="s">
        <v>6</v>
      </c>
      <c r="D3" s="2" t="s">
        <v>10</v>
      </c>
      <c r="E3" s="2" t="s">
        <v>125</v>
      </c>
      <c r="F3" s="2" t="s">
        <v>88</v>
      </c>
      <c r="G3" s="2" t="s">
        <v>89</v>
      </c>
    </row>
    <row r="4" spans="1:7" x14ac:dyDescent="0.25">
      <c r="A4" s="2" t="s">
        <v>90</v>
      </c>
      <c r="B4" s="2" t="s">
        <v>1</v>
      </c>
      <c r="C4" s="2" t="s">
        <v>91</v>
      </c>
      <c r="D4" s="2" t="s">
        <v>126</v>
      </c>
      <c r="E4" s="2" t="s">
        <v>127</v>
      </c>
      <c r="F4" s="2" t="s">
        <v>92</v>
      </c>
      <c r="G4" s="2" t="s">
        <v>93</v>
      </c>
    </row>
    <row r="5" spans="1:7" x14ac:dyDescent="0.25">
      <c r="A5" s="2" t="s">
        <v>94</v>
      </c>
      <c r="B5" s="2" t="s">
        <v>2</v>
      </c>
      <c r="C5" s="2" t="s">
        <v>95</v>
      </c>
      <c r="D5" s="2" t="s">
        <v>128</v>
      </c>
      <c r="E5" s="2" t="s">
        <v>129</v>
      </c>
      <c r="F5" s="2" t="s">
        <v>96</v>
      </c>
      <c r="G5" s="2" t="s">
        <v>97</v>
      </c>
    </row>
    <row r="6" spans="1:7" x14ac:dyDescent="0.25">
      <c r="A6" s="2" t="s">
        <v>98</v>
      </c>
      <c r="B6" s="2" t="s">
        <v>3</v>
      </c>
      <c r="C6" s="2" t="s">
        <v>99</v>
      </c>
      <c r="D6" s="2" t="s">
        <v>130</v>
      </c>
      <c r="E6" s="2" t="s">
        <v>131</v>
      </c>
      <c r="F6" s="2" t="s">
        <v>100</v>
      </c>
      <c r="G6" s="2" t="s">
        <v>101</v>
      </c>
    </row>
    <row r="7" spans="1:7" x14ac:dyDescent="0.25">
      <c r="A7" s="2" t="s">
        <v>102</v>
      </c>
      <c r="B7" s="2" t="s">
        <v>103</v>
      </c>
      <c r="C7" s="2" t="s">
        <v>104</v>
      </c>
      <c r="D7" s="2" t="s">
        <v>132</v>
      </c>
      <c r="E7" s="2" t="s">
        <v>133</v>
      </c>
      <c r="F7" s="2" t="s">
        <v>105</v>
      </c>
      <c r="G7" s="2" t="s">
        <v>106</v>
      </c>
    </row>
    <row r="8" spans="1:7" x14ac:dyDescent="0.25">
      <c r="A8" s="2" t="s">
        <v>107</v>
      </c>
      <c r="B8" s="2" t="s">
        <v>108</v>
      </c>
      <c r="C8" s="2" t="s">
        <v>109</v>
      </c>
      <c r="D8" s="2" t="s">
        <v>134</v>
      </c>
      <c r="E8" s="2" t="s">
        <v>135</v>
      </c>
      <c r="F8" s="2" t="s">
        <v>110</v>
      </c>
      <c r="G8" s="2" t="s">
        <v>111</v>
      </c>
    </row>
    <row r="9" spans="1:7" x14ac:dyDescent="0.25">
      <c r="A9" s="2" t="s">
        <v>112</v>
      </c>
      <c r="B9" s="2" t="s">
        <v>113</v>
      </c>
      <c r="C9" s="2" t="s">
        <v>114</v>
      </c>
      <c r="D9" s="2" t="s">
        <v>136</v>
      </c>
      <c r="E9" s="2" t="s">
        <v>137</v>
      </c>
      <c r="F9" s="2" t="s">
        <v>115</v>
      </c>
      <c r="G9" s="2" t="s">
        <v>116</v>
      </c>
    </row>
    <row r="10" spans="1:7" x14ac:dyDescent="0.25">
      <c r="A10" s="2" t="s">
        <v>117</v>
      </c>
      <c r="B10" s="2" t="s">
        <v>118</v>
      </c>
      <c r="C10" s="2" t="s">
        <v>8</v>
      </c>
      <c r="D10" s="2" t="s">
        <v>138</v>
      </c>
      <c r="E10" s="2" t="s">
        <v>139</v>
      </c>
      <c r="F10" s="2" t="s">
        <v>119</v>
      </c>
      <c r="G10" s="16" t="s">
        <v>120</v>
      </c>
    </row>
    <row r="11" spans="1:7" x14ac:dyDescent="0.25">
      <c r="A11" s="2" t="s">
        <v>121</v>
      </c>
      <c r="B11" s="2" t="s">
        <v>4</v>
      </c>
      <c r="C11" s="2" t="s">
        <v>122</v>
      </c>
      <c r="D11" s="2" t="s">
        <v>140</v>
      </c>
      <c r="E11" s="2" t="s">
        <v>141</v>
      </c>
      <c r="F11" s="2" t="s">
        <v>123</v>
      </c>
      <c r="G11" s="2" t="s">
        <v>124</v>
      </c>
    </row>
  </sheetData>
  <phoneticPr fontId="3" type="noConversion"/>
  <hyperlinks>
    <hyperlink ref="G10" r:id="rId1" xr:uid="{88EE2E4C-688C-4962-B4EB-A9B46061265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F0B4-D6D8-4AEA-A46C-1724662CF994}">
  <sheetPr>
    <tabColor theme="8" tint="0.39997558519241921"/>
  </sheetPr>
  <dimension ref="A1:G21"/>
  <sheetViews>
    <sheetView workbookViewId="0">
      <selection activeCell="G11" sqref="G11"/>
    </sheetView>
  </sheetViews>
  <sheetFormatPr baseColWidth="10" defaultRowHeight="15" x14ac:dyDescent="0.25"/>
  <cols>
    <col min="2" max="2" width="28.7109375" customWidth="1"/>
    <col min="3" max="3" width="18.7109375" customWidth="1"/>
    <col min="4" max="4" width="14.5703125" customWidth="1"/>
    <col min="5" max="5" width="17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/>
    </row>
    <row r="2" spans="1:7" x14ac:dyDescent="0.25">
      <c r="A2" t="s">
        <v>19</v>
      </c>
      <c r="B2" t="s">
        <v>20</v>
      </c>
      <c r="C2" t="s">
        <v>21</v>
      </c>
      <c r="D2">
        <v>150</v>
      </c>
      <c r="E2">
        <v>3200</v>
      </c>
      <c r="F2">
        <v>480000</v>
      </c>
    </row>
    <row r="3" spans="1:7" x14ac:dyDescent="0.25">
      <c r="A3" t="s">
        <v>22</v>
      </c>
      <c r="B3" t="s">
        <v>23</v>
      </c>
      <c r="C3" t="s">
        <v>24</v>
      </c>
      <c r="D3">
        <v>80</v>
      </c>
      <c r="E3">
        <v>12500</v>
      </c>
      <c r="F3">
        <v>1000000</v>
      </c>
    </row>
    <row r="4" spans="1:7" x14ac:dyDescent="0.25">
      <c r="A4" t="s">
        <v>25</v>
      </c>
      <c r="B4" t="s">
        <v>26</v>
      </c>
      <c r="C4" t="s">
        <v>21</v>
      </c>
      <c r="D4">
        <v>200</v>
      </c>
      <c r="E4">
        <v>2800</v>
      </c>
      <c r="F4">
        <v>560000</v>
      </c>
    </row>
    <row r="5" spans="1:7" x14ac:dyDescent="0.25">
      <c r="A5" t="s">
        <v>27</v>
      </c>
      <c r="B5" t="s">
        <v>28</v>
      </c>
      <c r="C5" t="s">
        <v>24</v>
      </c>
      <c r="D5">
        <v>120</v>
      </c>
      <c r="E5">
        <v>4100</v>
      </c>
      <c r="F5">
        <v>492000</v>
      </c>
    </row>
    <row r="6" spans="1:7" x14ac:dyDescent="0.25">
      <c r="A6" t="s">
        <v>29</v>
      </c>
      <c r="B6" t="s">
        <v>30</v>
      </c>
      <c r="C6" t="s">
        <v>24</v>
      </c>
      <c r="D6">
        <v>60</v>
      </c>
      <c r="E6">
        <v>9800</v>
      </c>
      <c r="F6">
        <v>588000</v>
      </c>
    </row>
    <row r="7" spans="1:7" x14ac:dyDescent="0.25">
      <c r="A7" t="s">
        <v>31</v>
      </c>
      <c r="B7" t="s">
        <v>32</v>
      </c>
      <c r="C7" t="s">
        <v>21</v>
      </c>
      <c r="D7">
        <v>90</v>
      </c>
      <c r="E7">
        <v>7500</v>
      </c>
      <c r="F7">
        <v>675000</v>
      </c>
    </row>
    <row r="8" spans="1:7" x14ac:dyDescent="0.25">
      <c r="A8" t="s">
        <v>33</v>
      </c>
      <c r="B8" t="s">
        <v>34</v>
      </c>
      <c r="C8" t="s">
        <v>21</v>
      </c>
      <c r="D8">
        <v>110</v>
      </c>
      <c r="E8">
        <v>5200</v>
      </c>
      <c r="F8">
        <v>572000</v>
      </c>
    </row>
    <row r="9" spans="1:7" x14ac:dyDescent="0.25">
      <c r="A9" t="s">
        <v>35</v>
      </c>
      <c r="B9" t="s">
        <v>36</v>
      </c>
      <c r="C9" t="s">
        <v>24</v>
      </c>
      <c r="D9">
        <v>300</v>
      </c>
      <c r="E9">
        <v>1800</v>
      </c>
      <c r="F9">
        <v>540000</v>
      </c>
    </row>
    <row r="10" spans="1:7" x14ac:dyDescent="0.25">
      <c r="A10" t="s">
        <v>37</v>
      </c>
      <c r="B10" t="s">
        <v>38</v>
      </c>
      <c r="C10" t="s">
        <v>24</v>
      </c>
      <c r="D10">
        <v>140</v>
      </c>
      <c r="E10">
        <v>6500</v>
      </c>
      <c r="F10">
        <v>910000</v>
      </c>
    </row>
    <row r="11" spans="1:7" x14ac:dyDescent="0.25">
      <c r="A11" t="s">
        <v>39</v>
      </c>
      <c r="B11" t="s">
        <v>40</v>
      </c>
      <c r="C11" t="s">
        <v>24</v>
      </c>
      <c r="D11">
        <v>70</v>
      </c>
      <c r="E11">
        <v>2100</v>
      </c>
      <c r="F11">
        <v>147000</v>
      </c>
    </row>
    <row r="12" spans="1:7" x14ac:dyDescent="0.25">
      <c r="A12" t="s">
        <v>41</v>
      </c>
      <c r="B12" t="s">
        <v>42</v>
      </c>
      <c r="C12" t="s">
        <v>24</v>
      </c>
      <c r="D12">
        <v>160</v>
      </c>
      <c r="E12">
        <v>4300</v>
      </c>
      <c r="F12">
        <v>688000</v>
      </c>
    </row>
    <row r="13" spans="1:7" x14ac:dyDescent="0.25">
      <c r="A13" t="s">
        <v>43</v>
      </c>
      <c r="B13" t="s">
        <v>44</v>
      </c>
      <c r="C13" t="s">
        <v>24</v>
      </c>
      <c r="D13">
        <v>50</v>
      </c>
      <c r="E13">
        <v>6200</v>
      </c>
      <c r="F13">
        <v>310000</v>
      </c>
    </row>
    <row r="14" spans="1:7" x14ac:dyDescent="0.25">
      <c r="A14" t="s">
        <v>45</v>
      </c>
      <c r="B14" t="s">
        <v>46</v>
      </c>
      <c r="C14" t="s">
        <v>24</v>
      </c>
      <c r="D14">
        <v>85</v>
      </c>
      <c r="E14">
        <v>11900</v>
      </c>
      <c r="F14">
        <v>1011500</v>
      </c>
    </row>
    <row r="15" spans="1:7" x14ac:dyDescent="0.25">
      <c r="A15" t="s">
        <v>47</v>
      </c>
      <c r="B15" t="s">
        <v>48</v>
      </c>
      <c r="C15" t="s">
        <v>24</v>
      </c>
      <c r="D15">
        <v>250</v>
      </c>
      <c r="E15">
        <v>1500</v>
      </c>
      <c r="F15">
        <v>375000</v>
      </c>
    </row>
    <row r="16" spans="1:7" x14ac:dyDescent="0.25">
      <c r="A16" t="s">
        <v>49</v>
      </c>
      <c r="B16" t="s">
        <v>50</v>
      </c>
      <c r="C16" t="s">
        <v>51</v>
      </c>
      <c r="D16">
        <v>95</v>
      </c>
      <c r="E16">
        <v>7800</v>
      </c>
      <c r="F16">
        <v>741000</v>
      </c>
    </row>
    <row r="17" spans="1:6" x14ac:dyDescent="0.25">
      <c r="A17" t="s">
        <v>52</v>
      </c>
      <c r="B17" t="s">
        <v>53</v>
      </c>
      <c r="C17" t="s">
        <v>24</v>
      </c>
      <c r="D17">
        <v>130</v>
      </c>
      <c r="E17">
        <v>5400</v>
      </c>
      <c r="F17">
        <v>702000</v>
      </c>
    </row>
    <row r="18" spans="1:6" x14ac:dyDescent="0.25">
      <c r="A18" t="s">
        <v>54</v>
      </c>
      <c r="B18" t="s">
        <v>55</v>
      </c>
      <c r="C18" t="s">
        <v>24</v>
      </c>
      <c r="D18">
        <v>40</v>
      </c>
      <c r="E18">
        <v>14200</v>
      </c>
      <c r="F18">
        <v>568000</v>
      </c>
    </row>
    <row r="19" spans="1:6" x14ac:dyDescent="0.25">
      <c r="A19" t="s">
        <v>56</v>
      </c>
      <c r="B19" t="s">
        <v>57</v>
      </c>
      <c r="C19" t="s">
        <v>51</v>
      </c>
      <c r="D19">
        <v>180</v>
      </c>
      <c r="E19">
        <v>1100</v>
      </c>
      <c r="F19">
        <v>198000</v>
      </c>
    </row>
    <row r="20" spans="1:6" x14ac:dyDescent="0.25">
      <c r="A20" t="s">
        <v>58</v>
      </c>
      <c r="B20" t="s">
        <v>59</v>
      </c>
      <c r="C20" t="s">
        <v>24</v>
      </c>
      <c r="D20">
        <v>75</v>
      </c>
      <c r="E20">
        <v>5900</v>
      </c>
      <c r="F20">
        <v>442500</v>
      </c>
    </row>
    <row r="21" spans="1:6" x14ac:dyDescent="0.25">
      <c r="A21" t="s">
        <v>60</v>
      </c>
      <c r="B21" t="s">
        <v>61</v>
      </c>
      <c r="C21" t="s">
        <v>24</v>
      </c>
      <c r="D21">
        <v>105</v>
      </c>
      <c r="E21">
        <v>4800</v>
      </c>
      <c r="F21">
        <v>504000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3195-5FF8-4631-9888-CEB8EA18F1F2}">
  <sheetPr>
    <tabColor theme="5" tint="0.39997558519241921"/>
  </sheetPr>
  <dimension ref="A1"/>
  <sheetViews>
    <sheetView topLeftCell="A4" workbookViewId="0">
      <selection activeCell="H33" sqref="H33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C905-2923-4C6B-8842-79B9A892EBE4}">
  <sheetPr>
    <tabColor theme="9" tint="0.39997558519241921"/>
  </sheetPr>
  <dimension ref="A1"/>
  <sheetViews>
    <sheetView workbookViewId="0">
      <selection activeCell="K35" sqref="K35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7B02-A818-486D-A97E-ADA9AF0554B1}">
  <sheetPr>
    <tabColor theme="8" tint="-0.249977111117893"/>
  </sheetPr>
  <dimension ref="A1"/>
  <sheetViews>
    <sheetView workbookViewId="0">
      <selection activeCell="K34" sqref="K3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Formato de factura</vt:lpstr>
      <vt:lpstr>Hoja10</vt:lpstr>
      <vt:lpstr>Vendedores</vt:lpstr>
      <vt:lpstr>Clientes</vt:lpstr>
      <vt:lpstr>Productos</vt:lpstr>
      <vt:lpstr>Tabla_Dinamica</vt:lpstr>
      <vt:lpstr>Detalles_Factura</vt:lpstr>
      <vt:lpstr>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158D_93111013043</dc:creator>
  <cp:lastModifiedBy>158D_93111013043</cp:lastModifiedBy>
  <dcterms:created xsi:type="dcterms:W3CDTF">2026-09-24T12:35:54Z</dcterms:created>
  <dcterms:modified xsi:type="dcterms:W3CDTF">2026-09-24T16:19:48Z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2026-09-24T13:55:46Z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9b28279f-a430-42f7-9c2d-99440fc74ccb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